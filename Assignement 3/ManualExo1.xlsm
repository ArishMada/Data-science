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e9977c57ba3b0e/Bureau/Coding projects/Python/Data science/Assignement 3/"/>
    </mc:Choice>
  </mc:AlternateContent>
  <xr:revisionPtr revIDLastSave="0" documentId="8_{15EA0230-1B19-458F-A006-3B3308862160}" xr6:coauthVersionLast="47" xr6:coauthVersionMax="47" xr10:uidLastSave="{00000000-0000-0000-0000-000000000000}"/>
  <bookViews>
    <workbookView xWindow="-108" yWindow="-108" windowWidth="23256" windowHeight="12456" xr2:uid="{C7C7DC3F-09F2-42A8-9A63-28E4B1D97CD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0" i="1" l="1"/>
  <c r="L59" i="1"/>
  <c r="L58" i="1"/>
  <c r="L57" i="1"/>
  <c r="L56" i="1"/>
  <c r="L55" i="1"/>
  <c r="L54" i="1"/>
  <c r="L53" i="1"/>
  <c r="J60" i="1"/>
  <c r="J59" i="1"/>
  <c r="J58" i="1"/>
  <c r="J57" i="1"/>
  <c r="J56" i="1"/>
  <c r="J55" i="1"/>
  <c r="J54" i="1"/>
  <c r="J53" i="1"/>
  <c r="I60" i="1"/>
  <c r="I59" i="1"/>
  <c r="I58" i="1"/>
  <c r="I57" i="1"/>
  <c r="I56" i="1"/>
  <c r="I55" i="1"/>
  <c r="I54" i="1"/>
  <c r="I53" i="1"/>
  <c r="H60" i="1"/>
  <c r="H59" i="1"/>
  <c r="H58" i="1"/>
  <c r="H57" i="1"/>
  <c r="H56" i="1"/>
  <c r="H55" i="1"/>
  <c r="H54" i="1"/>
  <c r="H53" i="1"/>
  <c r="J36" i="1"/>
  <c r="H42" i="1"/>
  <c r="L42" i="1" s="1"/>
  <c r="H41" i="1"/>
  <c r="H40" i="1"/>
  <c r="H39" i="1"/>
  <c r="H38" i="1"/>
  <c r="L38" i="1" s="1"/>
  <c r="H36" i="1"/>
  <c r="H37" i="1"/>
  <c r="L37" i="1" s="1"/>
  <c r="H43" i="1"/>
  <c r="L43" i="1" s="1"/>
  <c r="L41" i="1"/>
  <c r="L40" i="1"/>
  <c r="L39" i="1"/>
  <c r="L36" i="1"/>
  <c r="J43" i="1"/>
  <c r="J42" i="1"/>
  <c r="J41" i="1"/>
  <c r="J40" i="1"/>
  <c r="J39" i="1"/>
  <c r="J38" i="1"/>
  <c r="J37" i="1"/>
  <c r="I43" i="1"/>
  <c r="I42" i="1"/>
  <c r="I41" i="1"/>
  <c r="I40" i="1"/>
  <c r="I39" i="1"/>
  <c r="I38" i="1"/>
  <c r="I37" i="1"/>
  <c r="I36" i="1"/>
  <c r="L26" i="1"/>
  <c r="L25" i="1"/>
  <c r="L24" i="1"/>
  <c r="L23" i="1"/>
  <c r="L22" i="1"/>
  <c r="L21" i="1"/>
  <c r="L20" i="1"/>
  <c r="L19" i="1"/>
  <c r="J26" i="1"/>
  <c r="J25" i="1"/>
  <c r="J24" i="1"/>
  <c r="J23" i="1"/>
  <c r="J22" i="1"/>
  <c r="J21" i="1"/>
  <c r="J20" i="1"/>
  <c r="I26" i="1"/>
  <c r="I25" i="1"/>
  <c r="I24" i="1"/>
  <c r="I23" i="1"/>
  <c r="I22" i="1"/>
  <c r="I21" i="1"/>
  <c r="I20" i="1"/>
  <c r="H26" i="1"/>
  <c r="H25" i="1"/>
  <c r="H24" i="1"/>
  <c r="H23" i="1"/>
  <c r="H22" i="1"/>
  <c r="H21" i="1"/>
  <c r="H20" i="1"/>
  <c r="J19" i="1"/>
  <c r="I19" i="1"/>
  <c r="H19" i="1"/>
  <c r="L9" i="1"/>
  <c r="L8" i="1"/>
  <c r="L7" i="1"/>
  <c r="L6" i="1"/>
  <c r="L5" i="1"/>
  <c r="L4" i="1"/>
  <c r="L3" i="1"/>
  <c r="L2" i="1"/>
  <c r="J9" i="1"/>
  <c r="J8" i="1"/>
  <c r="J7" i="1"/>
  <c r="J6" i="1"/>
  <c r="J5" i="1"/>
  <c r="J4" i="1"/>
  <c r="J3" i="1"/>
  <c r="J2" i="1"/>
  <c r="I9" i="1"/>
  <c r="I8" i="1"/>
  <c r="I7" i="1"/>
  <c r="I6" i="1"/>
  <c r="I5" i="1"/>
  <c r="I4" i="1"/>
  <c r="I3" i="1"/>
  <c r="H7" i="1"/>
  <c r="H6" i="1"/>
  <c r="H8" i="1"/>
  <c r="H9" i="1"/>
  <c r="I2" i="1"/>
  <c r="H5" i="1"/>
  <c r="H4" i="1"/>
  <c r="H3" i="1"/>
  <c r="H2" i="1"/>
</calcChain>
</file>

<file path=xl/sharedStrings.xml><?xml version="1.0" encoding="utf-8"?>
<sst xmlns="http://schemas.openxmlformats.org/spreadsheetml/2006/main" count="40" uniqueCount="15">
  <si>
    <t>x</t>
  </si>
  <si>
    <t>y</t>
  </si>
  <si>
    <t>distance from centroid 1</t>
  </si>
  <si>
    <t>distance from centroid 2</t>
  </si>
  <si>
    <t>distance from centroid 3</t>
  </si>
  <si>
    <t>closest distance</t>
  </si>
  <si>
    <t>chosen centroid</t>
  </si>
  <si>
    <t>Xcentroid</t>
  </si>
  <si>
    <t>Ycentroid</t>
  </si>
  <si>
    <t>Centroid</t>
  </si>
  <si>
    <t>X</t>
  </si>
  <si>
    <t>Y</t>
  </si>
  <si>
    <t xml:space="preserve">Mean </t>
  </si>
  <si>
    <t>New Centroid</t>
  </si>
  <si>
    <t>Individual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</si>
</sst>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000000"/>
    <numFmt numFmtId="169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1" fontId="2" fillId="0" borderId="5" xfId="0" applyNumberFormat="1" applyFont="1" applyBorder="1" applyAlignment="1">
      <alignment horizontal="center" wrapText="1"/>
    </xf>
    <xf numFmtId="168" fontId="2" fillId="0" borderId="5" xfId="0" applyNumberFormat="1" applyFont="1" applyBorder="1" applyAlignment="1">
      <alignment horizontal="center" wrapText="1"/>
    </xf>
    <xf numFmtId="2" fontId="2" fillId="0" borderId="5" xfId="0" applyNumberFormat="1" applyFont="1" applyBorder="1" applyAlignment="1">
      <alignment horizontal="center" wrapText="1"/>
    </xf>
    <xf numFmtId="0" fontId="0" fillId="3" borderId="1" xfId="0" applyFill="1" applyBorder="1"/>
    <xf numFmtId="0" fontId="3" fillId="2" borderId="1" xfId="0" applyFont="1" applyFill="1" applyBorder="1"/>
    <xf numFmtId="169" fontId="2" fillId="0" borderId="5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1417320</xdr:colOff>
      <xdr:row>12</xdr:row>
      <xdr:rowOff>30480</xdr:rowOff>
    </xdr:from>
    <xdr:ext cx="1356077" cy="31688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5727FC-4838-31FE-B677-B1E82BEB7E85}"/>
                </a:ext>
              </a:extLst>
            </xdr:cNvPr>
            <xdr:cNvSpPr txBox="1"/>
          </xdr:nvSpPr>
          <xdr:spPr>
            <a:xfrm>
              <a:off x="6507480" y="2240280"/>
              <a:ext cx="135607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1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(1)), 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(5))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5727FC-4838-31FE-B677-B1E82BEB7E85}"/>
                </a:ext>
              </a:extLst>
            </xdr:cNvPr>
            <xdr:cNvSpPr txBox="1"/>
          </xdr:nvSpPr>
          <xdr:spPr>
            <a:xfrm>
              <a:off x="6507480" y="2240280"/>
              <a:ext cx="135607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𝑀1 = (1/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r>
                <a:rPr lang="en-US" sz="1100" i="0">
                  <a:latin typeface="Cambria Math" panose="02040503050406030204" pitchFamily="18" charset="0"/>
                </a:rPr>
                <a:t>(1)), (</a:t>
              </a:r>
              <a:r>
                <a:rPr lang="en-US" sz="1100" b="0" i="0">
                  <a:latin typeface="Cambria Math" panose="02040503050406030204" pitchFamily="18" charset="0"/>
                </a:rPr>
                <a:t>1/1</a:t>
              </a:r>
              <a:r>
                <a:rPr lang="en-US" sz="1100" i="0">
                  <a:latin typeface="Cambria Math" panose="02040503050406030204" pitchFamily="18" charset="0"/>
                </a:rPr>
                <a:t>(5))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784860</xdr:colOff>
      <xdr:row>13</xdr:row>
      <xdr:rowOff>83820</xdr:rowOff>
    </xdr:from>
    <xdr:ext cx="2833404" cy="31688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52A47A-00A9-6B3E-02AB-F0A68BDE874E}"/>
                </a:ext>
              </a:extLst>
            </xdr:cNvPr>
            <xdr:cNvSpPr txBox="1"/>
          </xdr:nvSpPr>
          <xdr:spPr>
            <a:xfrm>
              <a:off x="5875020" y="2682240"/>
              <a:ext cx="283340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2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(1+5+4+4)),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(2+8+8+9))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52A47A-00A9-6B3E-02AB-F0A68BDE874E}"/>
                </a:ext>
              </a:extLst>
            </xdr:cNvPr>
            <xdr:cNvSpPr txBox="1"/>
          </xdr:nvSpPr>
          <xdr:spPr>
            <a:xfrm>
              <a:off x="5875020" y="2682240"/>
              <a:ext cx="283340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𝑀2 = (1/4(1+5+4+4)), (1/4(2+8+8+9))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868680</xdr:colOff>
      <xdr:row>14</xdr:row>
      <xdr:rowOff>68580</xdr:rowOff>
    </xdr:from>
    <xdr:ext cx="2340961" cy="31803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B9548DB-0B81-3A1C-9DA1-F851562FE33D}"/>
                </a:ext>
              </a:extLst>
            </xdr:cNvPr>
            <xdr:cNvSpPr txBox="1"/>
          </xdr:nvSpPr>
          <xdr:spPr>
            <a:xfrm>
              <a:off x="5958840" y="3116580"/>
              <a:ext cx="2340961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3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(8+8+2)),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(3+2+1))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B9548DB-0B81-3A1C-9DA1-F851562FE33D}"/>
                </a:ext>
              </a:extLst>
            </xdr:cNvPr>
            <xdr:cNvSpPr txBox="1"/>
          </xdr:nvSpPr>
          <xdr:spPr>
            <a:xfrm>
              <a:off x="5958840" y="3116580"/>
              <a:ext cx="2340961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𝑀3 = (1/3(8+8+2)), (1/3(3+2+1))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784860</xdr:colOff>
      <xdr:row>30</xdr:row>
      <xdr:rowOff>83820</xdr:rowOff>
    </xdr:from>
    <xdr:ext cx="2392513" cy="31803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3ADF0B8B-1C6D-4C75-B710-15BE862243D5}"/>
                </a:ext>
              </a:extLst>
            </xdr:cNvPr>
            <xdr:cNvSpPr txBox="1"/>
          </xdr:nvSpPr>
          <xdr:spPr>
            <a:xfrm>
              <a:off x="5875020" y="6576060"/>
              <a:ext cx="2392513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2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(5+4+4)),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(8+8+9))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3ADF0B8B-1C6D-4C75-B710-15BE862243D5}"/>
                </a:ext>
              </a:extLst>
            </xdr:cNvPr>
            <xdr:cNvSpPr txBox="1"/>
          </xdr:nvSpPr>
          <xdr:spPr>
            <a:xfrm>
              <a:off x="5875020" y="6576060"/>
              <a:ext cx="2392513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𝑀2 = (1/</a:t>
              </a:r>
              <a:r>
                <a:rPr lang="en-US" sz="1100" b="0" i="0">
                  <a:latin typeface="Cambria Math" panose="02040503050406030204" pitchFamily="18" charset="0"/>
                </a:rPr>
                <a:t>3</a:t>
              </a:r>
              <a:r>
                <a:rPr lang="en-US" sz="1100" i="0">
                  <a:latin typeface="Cambria Math" panose="02040503050406030204" pitchFamily="18" charset="0"/>
                </a:rPr>
                <a:t>(5+4+4)), (1/</a:t>
              </a:r>
              <a:r>
                <a:rPr lang="en-US" sz="1100" b="0" i="0">
                  <a:latin typeface="Cambria Math" panose="02040503050406030204" pitchFamily="18" charset="0"/>
                </a:rPr>
                <a:t>3</a:t>
              </a:r>
              <a:r>
                <a:rPr lang="en-US" sz="1100" i="0">
                  <a:latin typeface="Cambria Math" panose="02040503050406030204" pitchFamily="18" charset="0"/>
                </a:rPr>
                <a:t>(8+8+9))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868680</xdr:colOff>
      <xdr:row>31</xdr:row>
      <xdr:rowOff>68580</xdr:rowOff>
    </xdr:from>
    <xdr:ext cx="2340961" cy="31803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0B23301-8FF7-4997-AED7-67856250F419}"/>
                </a:ext>
              </a:extLst>
            </xdr:cNvPr>
            <xdr:cNvSpPr txBox="1"/>
          </xdr:nvSpPr>
          <xdr:spPr>
            <a:xfrm>
              <a:off x="5958840" y="3116580"/>
              <a:ext cx="2340961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3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(8+8+2)),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(3+2+1))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0B23301-8FF7-4997-AED7-67856250F419}"/>
                </a:ext>
              </a:extLst>
            </xdr:cNvPr>
            <xdr:cNvSpPr txBox="1"/>
          </xdr:nvSpPr>
          <xdr:spPr>
            <a:xfrm>
              <a:off x="5958840" y="3116580"/>
              <a:ext cx="2340961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𝑀3 = (1/3(8+8+2)), (1/3(3+2+1))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1356360</xdr:colOff>
      <xdr:row>29</xdr:row>
      <xdr:rowOff>53340</xdr:rowOff>
    </xdr:from>
    <xdr:ext cx="1669368" cy="31688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35E1A89C-6ED1-9F89-4BB6-9A0E224D284A}"/>
                </a:ext>
              </a:extLst>
            </xdr:cNvPr>
            <xdr:cNvSpPr txBox="1"/>
          </xdr:nvSpPr>
          <xdr:spPr>
            <a:xfrm>
              <a:off x="6446520" y="6141720"/>
              <a:ext cx="166936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1=(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1+1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,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5+2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35E1A89C-6ED1-9F89-4BB6-9A0E224D284A}"/>
                </a:ext>
              </a:extLst>
            </xdr:cNvPr>
            <xdr:cNvSpPr txBox="1"/>
          </xdr:nvSpPr>
          <xdr:spPr>
            <a:xfrm>
              <a:off x="6446520" y="6141720"/>
              <a:ext cx="166936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𝑀1=(1/2 (1+1),1/2 (5+2))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784860</xdr:colOff>
      <xdr:row>47</xdr:row>
      <xdr:rowOff>83820</xdr:rowOff>
    </xdr:from>
    <xdr:ext cx="2392513" cy="31803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1A214B3-4938-499F-8406-F46A8F348AC9}"/>
                </a:ext>
              </a:extLst>
            </xdr:cNvPr>
            <xdr:cNvSpPr txBox="1"/>
          </xdr:nvSpPr>
          <xdr:spPr>
            <a:xfrm>
              <a:off x="5875020" y="6576060"/>
              <a:ext cx="2392513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2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(5+4+4)),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(8+8+9))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1A214B3-4938-499F-8406-F46A8F348AC9}"/>
                </a:ext>
              </a:extLst>
            </xdr:cNvPr>
            <xdr:cNvSpPr txBox="1"/>
          </xdr:nvSpPr>
          <xdr:spPr>
            <a:xfrm>
              <a:off x="5875020" y="6576060"/>
              <a:ext cx="2392513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𝑀2 = (1/</a:t>
              </a:r>
              <a:r>
                <a:rPr lang="en-US" sz="1100" b="0" i="0">
                  <a:latin typeface="Cambria Math" panose="02040503050406030204" pitchFamily="18" charset="0"/>
                </a:rPr>
                <a:t>3</a:t>
              </a:r>
              <a:r>
                <a:rPr lang="en-US" sz="1100" i="0">
                  <a:latin typeface="Cambria Math" panose="02040503050406030204" pitchFamily="18" charset="0"/>
                </a:rPr>
                <a:t>(5+4+4)), (1/</a:t>
              </a:r>
              <a:r>
                <a:rPr lang="en-US" sz="1100" b="0" i="0">
                  <a:latin typeface="Cambria Math" panose="02040503050406030204" pitchFamily="18" charset="0"/>
                </a:rPr>
                <a:t>3</a:t>
              </a:r>
              <a:r>
                <a:rPr lang="en-US" sz="1100" i="0">
                  <a:latin typeface="Cambria Math" panose="02040503050406030204" pitchFamily="18" charset="0"/>
                </a:rPr>
                <a:t>(8+8+9))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868680</xdr:colOff>
      <xdr:row>48</xdr:row>
      <xdr:rowOff>68580</xdr:rowOff>
    </xdr:from>
    <xdr:ext cx="1848518" cy="31803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6F8C4878-D5BD-4418-830E-D0A3C8019869}"/>
                </a:ext>
              </a:extLst>
            </xdr:cNvPr>
            <xdr:cNvSpPr txBox="1"/>
          </xdr:nvSpPr>
          <xdr:spPr>
            <a:xfrm>
              <a:off x="5958840" y="11064240"/>
              <a:ext cx="1848518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3 =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(8+8)), (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</a:rPr>
                      <m:t>(3+2))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6F8C4878-D5BD-4418-830E-D0A3C8019869}"/>
                </a:ext>
              </a:extLst>
            </xdr:cNvPr>
            <xdr:cNvSpPr txBox="1"/>
          </xdr:nvSpPr>
          <xdr:spPr>
            <a:xfrm>
              <a:off x="5958840" y="11064240"/>
              <a:ext cx="1848518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𝑀3 = (1/3(8+8)), (1/3(3+2))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1356360</xdr:colOff>
      <xdr:row>46</xdr:row>
      <xdr:rowOff>53340</xdr:rowOff>
    </xdr:from>
    <xdr:ext cx="2213362" cy="31688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7D71621D-851A-4BD6-BB89-A0D7DFBA601C}"/>
                </a:ext>
              </a:extLst>
            </xdr:cNvPr>
            <xdr:cNvSpPr txBox="1"/>
          </xdr:nvSpPr>
          <xdr:spPr>
            <a:xfrm>
              <a:off x="6446520" y="10203180"/>
              <a:ext cx="2213362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1=(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1+1+2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,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5+2+1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7D71621D-851A-4BD6-BB89-A0D7DFBA601C}"/>
                </a:ext>
              </a:extLst>
            </xdr:cNvPr>
            <xdr:cNvSpPr txBox="1"/>
          </xdr:nvSpPr>
          <xdr:spPr>
            <a:xfrm>
              <a:off x="6446520" y="10203180"/>
              <a:ext cx="2213362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𝑀1=(1/3 (1+1+2),1/3 (5+2+1))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146A9-88D2-4055-855F-84BB4FCD246F}">
  <dimension ref="A1:M60"/>
  <sheetViews>
    <sheetView tabSelected="1" topLeftCell="H47" workbookViewId="0">
      <selection activeCell="M65" sqref="M65"/>
    </sheetView>
  </sheetViews>
  <sheetFormatPr defaultRowHeight="14.4" x14ac:dyDescent="0.3"/>
  <cols>
    <col min="7" max="8" width="20.88671875" customWidth="1"/>
    <col min="9" max="9" width="20.77734375" customWidth="1"/>
    <col min="10" max="10" width="21.33203125" customWidth="1"/>
    <col min="11" max="11" width="14" customWidth="1"/>
    <col min="12" max="12" width="18.109375" customWidth="1"/>
    <col min="13" max="13" width="13.44140625" customWidth="1"/>
  </cols>
  <sheetData>
    <row r="1" spans="1:13" x14ac:dyDescent="0.3">
      <c r="A1" s="6" t="s">
        <v>0</v>
      </c>
      <c r="B1" s="6" t="s">
        <v>1</v>
      </c>
      <c r="C1" s="7"/>
      <c r="D1" s="8" t="s">
        <v>9</v>
      </c>
      <c r="E1" s="9" t="s">
        <v>7</v>
      </c>
      <c r="F1" s="9" t="s">
        <v>8</v>
      </c>
      <c r="G1" s="7"/>
      <c r="H1" s="9" t="s">
        <v>2</v>
      </c>
      <c r="I1" s="9" t="s">
        <v>3</v>
      </c>
      <c r="J1" s="9" t="s">
        <v>4</v>
      </c>
      <c r="K1" s="10"/>
      <c r="L1" s="9" t="s">
        <v>5</v>
      </c>
      <c r="M1" s="9" t="s">
        <v>6</v>
      </c>
    </row>
    <row r="2" spans="1:13" x14ac:dyDescent="0.3">
      <c r="A2" s="5">
        <v>1</v>
      </c>
      <c r="B2" s="5">
        <v>5</v>
      </c>
      <c r="D2" s="9">
        <v>1</v>
      </c>
      <c r="E2" s="3">
        <v>1</v>
      </c>
      <c r="F2" s="3">
        <v>10</v>
      </c>
      <c r="H2" s="2">
        <f>SQRT(((A2-E2)^2)+((B2-F2)^2))</f>
        <v>5</v>
      </c>
      <c r="I2" s="4">
        <f>SQRT(((A2-E3)^2)+((B2-F3)^2))</f>
        <v>5</v>
      </c>
      <c r="J2" s="4">
        <f>SQRT(((A2-E4)^2)+((B2-F4)^2))</f>
        <v>8.5440037453175304</v>
      </c>
      <c r="L2" s="5">
        <f>MIN(H2,I2,J2)</f>
        <v>5</v>
      </c>
      <c r="M2" s="5">
        <v>1</v>
      </c>
    </row>
    <row r="3" spans="1:13" x14ac:dyDescent="0.3">
      <c r="A3" s="5">
        <v>1</v>
      </c>
      <c r="B3" s="5">
        <v>2</v>
      </c>
      <c r="D3" s="9">
        <v>2</v>
      </c>
      <c r="E3" s="3">
        <v>5</v>
      </c>
      <c r="F3" s="3">
        <v>8</v>
      </c>
      <c r="H3" s="4">
        <f>SQRT(((A3-E2)^2)+((B3-F2)^2))</f>
        <v>8</v>
      </c>
      <c r="I3" s="2">
        <f>SQRT(((A3-E3)^2)+((B3-F3)^2))</f>
        <v>7.2111025509279782</v>
      </c>
      <c r="J3" s="4">
        <f>SQRT(((A3-E4)^2)+((B3-F4)^2))</f>
        <v>8</v>
      </c>
      <c r="L3" s="5">
        <f>MIN(H3,I3,J3)</f>
        <v>7.2111025509279782</v>
      </c>
      <c r="M3" s="5">
        <v>2</v>
      </c>
    </row>
    <row r="4" spans="1:13" x14ac:dyDescent="0.3">
      <c r="A4" s="5">
        <v>5</v>
      </c>
      <c r="B4" s="5">
        <v>8</v>
      </c>
      <c r="D4" s="9">
        <v>3</v>
      </c>
      <c r="E4" s="3">
        <v>9</v>
      </c>
      <c r="F4" s="3">
        <v>2</v>
      </c>
      <c r="H4" s="4">
        <f>SQRT(((A4-E2)^2)+((B4-F2)^2))</f>
        <v>4.4721359549995796</v>
      </c>
      <c r="I4" s="2">
        <f>SQRT(((A4-E3)^2)+((B4-F3)^2))</f>
        <v>0</v>
      </c>
      <c r="J4" s="4">
        <f>SQRT(((A4-E4)^2)+((B4-F4)^2))</f>
        <v>7.2111025509279782</v>
      </c>
      <c r="L4" s="5">
        <f>MIN(H4,I4,J4)</f>
        <v>0</v>
      </c>
      <c r="M4" s="5">
        <v>2</v>
      </c>
    </row>
    <row r="5" spans="1:13" x14ac:dyDescent="0.3">
      <c r="A5" s="5">
        <v>4</v>
      </c>
      <c r="B5" s="5">
        <v>8</v>
      </c>
      <c r="H5" s="4">
        <f>SQRT(((A5-E2)^2)+((B5-F2)^2))</f>
        <v>3.6055512754639891</v>
      </c>
      <c r="I5" s="2">
        <f>SQRT(((A5-E3)^2)+((B5-F3)^2))</f>
        <v>1</v>
      </c>
      <c r="J5" s="4">
        <f>SQRT(((A5-E4)^2)+((B5-F4)^2))</f>
        <v>7.810249675906654</v>
      </c>
      <c r="L5" s="5">
        <f>MIN(H5,I5,J5)</f>
        <v>1</v>
      </c>
      <c r="M5" s="5">
        <v>2</v>
      </c>
    </row>
    <row r="6" spans="1:13" x14ac:dyDescent="0.3">
      <c r="A6" s="5">
        <v>4</v>
      </c>
      <c r="B6" s="5">
        <v>9</v>
      </c>
      <c r="H6" s="4">
        <f>SQRT(((A6-E2)^2)+((B6-F2)^2))</f>
        <v>3.1622776601683795</v>
      </c>
      <c r="I6" s="2">
        <f>SQRT(((A6-E3)^2)+((B6-F3)^2))</f>
        <v>1.4142135623730951</v>
      </c>
      <c r="J6" s="4">
        <f>SQRT(((A6-E4)^2)+((B6-F4)^2))</f>
        <v>8.6023252670426267</v>
      </c>
      <c r="L6" s="5">
        <f>MIN(H6,I6,J6)</f>
        <v>1.4142135623730951</v>
      </c>
      <c r="M6" s="5">
        <v>2</v>
      </c>
    </row>
    <row r="7" spans="1:13" x14ac:dyDescent="0.3">
      <c r="A7" s="5">
        <v>8</v>
      </c>
      <c r="B7" s="5">
        <v>3</v>
      </c>
      <c r="H7" s="4">
        <f>SQRT(((A7-E2)^2)+((B7-F2)^2))</f>
        <v>9.8994949366116654</v>
      </c>
      <c r="I7" s="4">
        <f>SQRT(((A7-E3)^2)+((B7-F3)^2))</f>
        <v>5.8309518948453007</v>
      </c>
      <c r="J7" s="2">
        <f>SQRT(((A7-E4)^2)+((B7-F4)^2))</f>
        <v>1.4142135623730951</v>
      </c>
      <c r="L7" s="5">
        <f>MIN(H7,I7,J7)</f>
        <v>1.4142135623730951</v>
      </c>
      <c r="M7" s="5">
        <v>3</v>
      </c>
    </row>
    <row r="8" spans="1:13" x14ac:dyDescent="0.3">
      <c r="A8" s="5">
        <v>8</v>
      </c>
      <c r="B8" s="5">
        <v>2</v>
      </c>
      <c r="H8" s="4">
        <f>SQRT(((A8-E2)^2)+((B8-F2)^2))</f>
        <v>10.63014581273465</v>
      </c>
      <c r="I8" s="4">
        <f>SQRT(((A8-E3)^2)+((B8-F3)^2))</f>
        <v>6.7082039324993694</v>
      </c>
      <c r="J8" s="2">
        <f>SQRT(((A8-E4)^2)+((B8-F4)^2))</f>
        <v>1</v>
      </c>
      <c r="L8" s="5">
        <f>MIN(H8,I8,J8)</f>
        <v>1</v>
      </c>
      <c r="M8" s="5">
        <v>3</v>
      </c>
    </row>
    <row r="9" spans="1:13" x14ac:dyDescent="0.3">
      <c r="A9" s="5">
        <v>2</v>
      </c>
      <c r="B9" s="5">
        <v>1</v>
      </c>
      <c r="H9" s="4">
        <f>SQRT(((A9-E2)^2)+((B9-F2)^2))</f>
        <v>9.0553851381374173</v>
      </c>
      <c r="I9" s="4">
        <f>SQRT(((A9-E3)^2)+((B9-F3)^2))</f>
        <v>7.6157731058639087</v>
      </c>
      <c r="J9" s="2">
        <f>SQRT(((A9-E4)^2)+((B9-F4)^2))</f>
        <v>7.0710678118654755</v>
      </c>
      <c r="L9" s="5">
        <f>MIN(H9,I9,J9)</f>
        <v>7.0710678118654755</v>
      </c>
      <c r="M9" s="5">
        <v>3</v>
      </c>
    </row>
    <row r="11" spans="1:13" ht="15" thickBot="1" x14ac:dyDescent="0.35"/>
    <row r="12" spans="1:13" ht="15" thickBot="1" x14ac:dyDescent="0.35">
      <c r="G12" s="3" t="s">
        <v>13</v>
      </c>
      <c r="H12" s="12" t="s">
        <v>12</v>
      </c>
      <c r="I12" s="12"/>
      <c r="J12" s="13"/>
      <c r="K12" s="11" t="s">
        <v>10</v>
      </c>
      <c r="L12" s="11" t="s">
        <v>11</v>
      </c>
    </row>
    <row r="13" spans="1:13" ht="30.6" customHeight="1" thickBot="1" x14ac:dyDescent="0.35">
      <c r="G13" s="3">
        <v>1</v>
      </c>
      <c r="H13" s="12"/>
      <c r="I13" s="12"/>
      <c r="J13" s="13"/>
      <c r="K13" s="14">
        <v>1</v>
      </c>
      <c r="L13" s="14">
        <v>5</v>
      </c>
    </row>
    <row r="14" spans="1:13" ht="35.4" customHeight="1" thickBot="1" x14ac:dyDescent="0.35">
      <c r="G14" s="3">
        <v>2</v>
      </c>
      <c r="H14" s="12"/>
      <c r="I14" s="12"/>
      <c r="J14" s="13"/>
      <c r="K14" s="16">
        <v>3.5</v>
      </c>
      <c r="L14" s="16">
        <v>6.75</v>
      </c>
    </row>
    <row r="15" spans="1:13" ht="36.6" customHeight="1" thickBot="1" x14ac:dyDescent="0.35">
      <c r="G15" s="3">
        <v>3</v>
      </c>
      <c r="H15" s="12"/>
      <c r="I15" s="12"/>
      <c r="J15" s="13"/>
      <c r="K15" s="14">
        <v>6</v>
      </c>
      <c r="L15" s="14">
        <v>2</v>
      </c>
    </row>
    <row r="18" spans="7:13" x14ac:dyDescent="0.3">
      <c r="G18" s="1" t="s">
        <v>14</v>
      </c>
      <c r="H18" s="9" t="s">
        <v>2</v>
      </c>
      <c r="I18" s="9" t="s">
        <v>3</v>
      </c>
      <c r="J18" s="9" t="s">
        <v>4</v>
      </c>
      <c r="L18" s="9" t="s">
        <v>5</v>
      </c>
      <c r="M18" s="9" t="s">
        <v>6</v>
      </c>
    </row>
    <row r="19" spans="7:13" x14ac:dyDescent="0.3">
      <c r="G19" s="1">
        <v>1</v>
      </c>
      <c r="H19" s="2">
        <f>SQRT(((A2-K13)^2)+((B2-L13)^2))</f>
        <v>0</v>
      </c>
      <c r="I19" s="4">
        <f>SQRT(((A2-K14)^2)+((B2-L14)^2))</f>
        <v>3.0516389039334255</v>
      </c>
      <c r="J19" s="4">
        <f>SQRT(((A2-K15)^2)+((B2-L15)^2))</f>
        <v>5.8309518948453007</v>
      </c>
      <c r="L19" s="5">
        <f>MIN(H19,I19,J19)</f>
        <v>0</v>
      </c>
      <c r="M19" s="5">
        <v>1</v>
      </c>
    </row>
    <row r="20" spans="7:13" x14ac:dyDescent="0.3">
      <c r="G20" s="1">
        <v>2</v>
      </c>
      <c r="H20" s="18">
        <f>SQRT(((A3-K13)^2)+((B3-L13)^2))</f>
        <v>3</v>
      </c>
      <c r="I20" s="4">
        <f>SQRT(((A3-K14)^2)+((B3-L14)^2))</f>
        <v>5.367727638395972</v>
      </c>
      <c r="J20" s="4">
        <f>SQRT(((A3-K15)^2)+((B3-L15)^2))</f>
        <v>5</v>
      </c>
      <c r="L20" s="5">
        <f>MIN(H20,I20,J20)</f>
        <v>3</v>
      </c>
      <c r="M20" s="5">
        <v>1</v>
      </c>
    </row>
    <row r="21" spans="7:13" x14ac:dyDescent="0.3">
      <c r="G21" s="1">
        <v>3</v>
      </c>
      <c r="H21" s="17">
        <f>SQRT(((A4-K13)^2)+((B4-L13)^2))</f>
        <v>5</v>
      </c>
      <c r="I21" s="2">
        <f>SQRT(((A4-K14)^2)+((B4-L14)^2))</f>
        <v>1.9525624189766635</v>
      </c>
      <c r="J21" s="4">
        <f>SQRT(((A4-K15)^2)+((B4-L15)^2))</f>
        <v>6.0827625302982193</v>
      </c>
      <c r="L21" s="5">
        <f>MIN(H21,I21,J21)</f>
        <v>1.9525624189766635</v>
      </c>
      <c r="M21" s="5">
        <v>2</v>
      </c>
    </row>
    <row r="22" spans="7:13" x14ac:dyDescent="0.3">
      <c r="G22" s="1">
        <v>4</v>
      </c>
      <c r="H22" s="17">
        <f>SQRT(((A5-K13)^2)+((B5-L13)^2))</f>
        <v>4.2426406871192848</v>
      </c>
      <c r="I22" s="2">
        <f>SQRT(((A5-K14)^2)+((B5-L14)^2))</f>
        <v>1.3462912017836259</v>
      </c>
      <c r="J22" s="4">
        <f>SQRT(((A5-K15)^2)+((B5-L15)^2))</f>
        <v>6.324555320336759</v>
      </c>
      <c r="L22" s="5">
        <f>MIN(H22,I22,J22)</f>
        <v>1.3462912017836259</v>
      </c>
      <c r="M22" s="5">
        <v>2</v>
      </c>
    </row>
    <row r="23" spans="7:13" x14ac:dyDescent="0.3">
      <c r="G23" s="1">
        <v>5</v>
      </c>
      <c r="H23" s="17">
        <f>SQRT(((A6-K13)^2)+((B6-L13)^2))</f>
        <v>5</v>
      </c>
      <c r="I23" s="2">
        <f>SQRT(((A6-K14)^2)+((B6-L14)^2))</f>
        <v>2.3048861143232218</v>
      </c>
      <c r="J23" s="4">
        <f>SQRT(((A6-K15)^2)+((B6-L15)^2))</f>
        <v>7.2801098892805181</v>
      </c>
      <c r="L23" s="5">
        <f>MIN(H23,I23,J23)</f>
        <v>2.3048861143232218</v>
      </c>
      <c r="M23" s="5">
        <v>2</v>
      </c>
    </row>
    <row r="24" spans="7:13" x14ac:dyDescent="0.3">
      <c r="G24" s="1">
        <v>6</v>
      </c>
      <c r="H24" s="17">
        <f>SQRT(((A7-K13)^2)+((B7-L13)^2))</f>
        <v>7.2801098892805181</v>
      </c>
      <c r="I24" s="4">
        <f>SQRT(((A7-K14)^2)+((B7-L14)^2))</f>
        <v>5.8576872569299905</v>
      </c>
      <c r="J24" s="2">
        <f>SQRT(((A7-K15)^2)+((B7-L155)^2))</f>
        <v>3.6055512754639891</v>
      </c>
      <c r="L24" s="5">
        <f>MIN(H24,I24,J24)</f>
        <v>3.6055512754639891</v>
      </c>
      <c r="M24" s="5">
        <v>3</v>
      </c>
    </row>
    <row r="25" spans="7:13" x14ac:dyDescent="0.3">
      <c r="G25" s="1">
        <v>7</v>
      </c>
      <c r="H25" s="17">
        <f>SQRT(((A8-K13)^2)+((B8-L13)^2))</f>
        <v>7.6157731058639087</v>
      </c>
      <c r="I25" s="4">
        <f>SQRT(((A8-K14)^2)+((B8-L14)^2))</f>
        <v>6.5431261641512002</v>
      </c>
      <c r="J25" s="2">
        <f>SQRT(((A8-K15)^2)+((B8-L15)^2))</f>
        <v>2</v>
      </c>
      <c r="L25" s="5">
        <f>MIN(H25,I25,J25)</f>
        <v>2</v>
      </c>
      <c r="M25" s="5">
        <v>3</v>
      </c>
    </row>
    <row r="26" spans="7:13" x14ac:dyDescent="0.3">
      <c r="G26" s="1">
        <v>8</v>
      </c>
      <c r="H26" s="17">
        <f>SQRT(((A9-K13)^2)+((B9-L13)^2))</f>
        <v>4.1231056256176606</v>
      </c>
      <c r="I26" s="4">
        <f>SQRT(((A9-K14)^2)+((B9-L14)^2))</f>
        <v>5.9424321620023566</v>
      </c>
      <c r="J26" s="2">
        <f>SQRT(((A9-K15)^2)+((B9-L15)^2))</f>
        <v>4.1231056256176606</v>
      </c>
      <c r="L26" s="5">
        <f>MIN(H26,I26,J26)</f>
        <v>4.1231056256176606</v>
      </c>
      <c r="M26" s="5">
        <v>3</v>
      </c>
    </row>
    <row r="28" spans="7:13" ht="15" thickBot="1" x14ac:dyDescent="0.35"/>
    <row r="29" spans="7:13" ht="15" thickBot="1" x14ac:dyDescent="0.35">
      <c r="G29" s="3" t="s">
        <v>13</v>
      </c>
      <c r="H29" s="12" t="s">
        <v>12</v>
      </c>
      <c r="I29" s="12"/>
      <c r="J29" s="13"/>
      <c r="K29" s="11" t="s">
        <v>10</v>
      </c>
      <c r="L29" s="11" t="s">
        <v>11</v>
      </c>
    </row>
    <row r="30" spans="7:13" ht="31.8" customHeight="1" thickBot="1" x14ac:dyDescent="0.35">
      <c r="G30" s="3">
        <v>1</v>
      </c>
      <c r="H30" s="12"/>
      <c r="I30" s="12"/>
      <c r="J30" s="13"/>
      <c r="K30" s="14">
        <v>1</v>
      </c>
      <c r="L30" s="19">
        <v>3.5</v>
      </c>
    </row>
    <row r="31" spans="7:13" ht="42" customHeight="1" thickBot="1" x14ac:dyDescent="0.35">
      <c r="G31" s="3">
        <v>2</v>
      </c>
      <c r="H31" s="12"/>
      <c r="I31" s="12"/>
      <c r="J31" s="13"/>
      <c r="K31" s="15">
        <v>4.3333333300000003</v>
      </c>
      <c r="L31" s="15">
        <v>8.3333333300000003</v>
      </c>
    </row>
    <row r="32" spans="7:13" ht="43.2" customHeight="1" thickBot="1" x14ac:dyDescent="0.35">
      <c r="G32" s="3">
        <v>3</v>
      </c>
      <c r="H32" s="12"/>
      <c r="I32" s="12"/>
      <c r="J32" s="13"/>
      <c r="K32" s="14">
        <v>6</v>
      </c>
      <c r="L32" s="14">
        <v>2</v>
      </c>
    </row>
    <row r="35" spans="7:13" x14ac:dyDescent="0.3">
      <c r="G35" s="1" t="s">
        <v>14</v>
      </c>
      <c r="H35" s="9" t="s">
        <v>2</v>
      </c>
      <c r="I35" s="9" t="s">
        <v>3</v>
      </c>
      <c r="J35" s="9" t="s">
        <v>4</v>
      </c>
      <c r="L35" s="9" t="s">
        <v>5</v>
      </c>
      <c r="M35" s="9" t="s">
        <v>6</v>
      </c>
    </row>
    <row r="36" spans="7:13" x14ac:dyDescent="0.3">
      <c r="G36" s="1">
        <v>1</v>
      </c>
      <c r="H36" s="2">
        <f>SQRT(((A2-K30)^2)+((B2-L30)^2))</f>
        <v>1.5</v>
      </c>
      <c r="I36" s="4">
        <f>SQRT(((A2-K31)^2)+((B2-L31)^2))</f>
        <v>4.7140452031962718</v>
      </c>
      <c r="J36" s="4">
        <f>SQRT(((A2-K32)^2)+((B2-L32)^2))</f>
        <v>5.8309518948453007</v>
      </c>
      <c r="L36" s="5">
        <f>MIN(H36,I36,J36)</f>
        <v>1.5</v>
      </c>
      <c r="M36" s="5">
        <v>1</v>
      </c>
    </row>
    <row r="37" spans="7:13" x14ac:dyDescent="0.3">
      <c r="G37" s="1">
        <v>2</v>
      </c>
      <c r="H37" s="18">
        <f>SQRT(((A3-K30)^2)+((B3-L30)^2))</f>
        <v>1.5</v>
      </c>
      <c r="I37" s="4">
        <f>SQRT(((A3-K31)^2)+((B3-L31)^2))</f>
        <v>7.1569701800257475</v>
      </c>
      <c r="J37" s="4">
        <f>SQRT(((A3-K32)^2)+((B3-L32)^2))</f>
        <v>5</v>
      </c>
      <c r="L37" s="5">
        <f>MIN(H37,I37,J37)</f>
        <v>1.5</v>
      </c>
      <c r="M37" s="5">
        <v>1</v>
      </c>
    </row>
    <row r="38" spans="7:13" x14ac:dyDescent="0.3">
      <c r="G38" s="1">
        <v>3</v>
      </c>
      <c r="H38" s="17">
        <f>SQRT(((A4-K30)^2)+((B4-L30)^2))</f>
        <v>6.0207972893961479</v>
      </c>
      <c r="I38" s="2">
        <f>SQRT(((A4-K31)^2)+((B4-L31)^2))</f>
        <v>0.74535599399064167</v>
      </c>
      <c r="J38" s="4">
        <f>SQRT(((A4-K32)^2)+((B4-L32)^2))</f>
        <v>6.0827625302982193</v>
      </c>
      <c r="L38" s="5">
        <f>MIN(H38,I38,J38)</f>
        <v>0.74535599399064167</v>
      </c>
      <c r="M38" s="5">
        <v>2</v>
      </c>
    </row>
    <row r="39" spans="7:13" x14ac:dyDescent="0.3">
      <c r="G39" s="1">
        <v>4</v>
      </c>
      <c r="H39" s="17">
        <f>SQRT(((A5-K30)^2)+((B5-L30)^2))</f>
        <v>5.4083269131959844</v>
      </c>
      <c r="I39" s="2">
        <f>SQRT(((A5-K31)^2)+((B5-L31)^2))</f>
        <v>0.47140451607698691</v>
      </c>
      <c r="J39" s="4">
        <f>SQRT(((A5-K32)^2)+((B5-L32)^2))</f>
        <v>6.324555320336759</v>
      </c>
      <c r="L39" s="5">
        <f>MIN(H39,I39,J39)</f>
        <v>0.47140451607698691</v>
      </c>
      <c r="M39" s="5">
        <v>2</v>
      </c>
    </row>
    <row r="40" spans="7:13" x14ac:dyDescent="0.3">
      <c r="G40" s="1">
        <v>5</v>
      </c>
      <c r="H40" s="17">
        <f>SQRT(((A6-K30)^2)+((B6-L30)^2))</f>
        <v>6.2649820430708338</v>
      </c>
      <c r="I40" s="2">
        <f>SQRT(((A6-K31)^2)+((B6-L31)^2))</f>
        <v>0.74535599399064167</v>
      </c>
      <c r="J40" s="4">
        <f>SQRT(((A6-K32)^2)+((B6-L32)^2))</f>
        <v>7.2801098892805181</v>
      </c>
      <c r="L40" s="5">
        <f>MIN(H40,I40,J40)</f>
        <v>0.74535599399064167</v>
      </c>
      <c r="M40" s="5">
        <v>2</v>
      </c>
    </row>
    <row r="41" spans="7:13" x14ac:dyDescent="0.3">
      <c r="G41" s="1">
        <v>6</v>
      </c>
      <c r="H41" s="17">
        <f>SQRT(((A7-K30)^2)+((B7-L30)^2))</f>
        <v>7.0178344238090995</v>
      </c>
      <c r="I41" s="4">
        <f>SQRT(((A7-K31)^2)+((B7-L31)^2))</f>
        <v>6.4721626121241558</v>
      </c>
      <c r="J41" s="2">
        <f>SQRT(((A7-K32)^2)+((B7-L32)^2))</f>
        <v>2.2360679774997898</v>
      </c>
      <c r="L41" s="5">
        <f>MIN(H41,I41,J41)</f>
        <v>2.2360679774997898</v>
      </c>
      <c r="M41" s="5">
        <v>3</v>
      </c>
    </row>
    <row r="42" spans="7:13" x14ac:dyDescent="0.3">
      <c r="G42" s="1">
        <v>7</v>
      </c>
      <c r="H42" s="17">
        <f>SQRT(((A8-K30)^2)+((B8-L30)^2))</f>
        <v>7.1589105316381767</v>
      </c>
      <c r="I42" s="4">
        <f>SQRT(((A8-K31)^2)+((B8-L31)^2))</f>
        <v>7.3181661321520828</v>
      </c>
      <c r="J42" s="2">
        <f>SQRT(((A8-K32)^2)+((B8-L32)^2))</f>
        <v>2</v>
      </c>
      <c r="L42" s="5">
        <f>MIN(H42,I42,J42)</f>
        <v>2</v>
      </c>
      <c r="M42" s="5">
        <v>3</v>
      </c>
    </row>
    <row r="43" spans="7:13" x14ac:dyDescent="0.3">
      <c r="G43" s="1">
        <v>8</v>
      </c>
      <c r="H43" s="2">
        <f>SQRT(((A9-K30)^2)+((B9-L30)^2))</f>
        <v>2.6925824035672519</v>
      </c>
      <c r="I43" s="4">
        <f>SQRT(((A9-K31)^2)+((B9-L31)^2))</f>
        <v>7.6955975828896994</v>
      </c>
      <c r="J43" s="17">
        <f>SQRT(((A9-K32)^2)+((B9-L32)^2))</f>
        <v>4.1231056256176606</v>
      </c>
      <c r="L43" s="5">
        <f>MIN(H43,I43,J43)</f>
        <v>2.6925824035672519</v>
      </c>
      <c r="M43" s="5">
        <v>1</v>
      </c>
    </row>
    <row r="45" spans="7:13" ht="15" thickBot="1" x14ac:dyDescent="0.35"/>
    <row r="46" spans="7:13" ht="15" thickBot="1" x14ac:dyDescent="0.35">
      <c r="G46" s="3" t="s">
        <v>13</v>
      </c>
      <c r="H46" s="12" t="s">
        <v>12</v>
      </c>
      <c r="I46" s="12"/>
      <c r="J46" s="13"/>
      <c r="K46" s="11" t="s">
        <v>10</v>
      </c>
      <c r="L46" s="11" t="s">
        <v>11</v>
      </c>
    </row>
    <row r="47" spans="7:13" ht="31.8" customHeight="1" thickBot="1" x14ac:dyDescent="0.35">
      <c r="G47" s="3">
        <v>1</v>
      </c>
      <c r="H47" s="12"/>
      <c r="I47" s="12"/>
      <c r="J47" s="13"/>
      <c r="K47" s="15">
        <v>1.3333333000000001</v>
      </c>
      <c r="L47" s="15">
        <v>2.6666666999999999</v>
      </c>
    </row>
    <row r="48" spans="7:13" ht="34.799999999999997" customHeight="1" thickBot="1" x14ac:dyDescent="0.35">
      <c r="G48" s="3">
        <v>2</v>
      </c>
      <c r="H48" s="12"/>
      <c r="I48" s="12"/>
      <c r="J48" s="13"/>
      <c r="K48" s="15">
        <v>4.3333333300000003</v>
      </c>
      <c r="L48" s="15">
        <v>8.3333333300000003</v>
      </c>
    </row>
    <row r="49" spans="7:13" ht="37.200000000000003" customHeight="1" thickBot="1" x14ac:dyDescent="0.35">
      <c r="G49" s="3">
        <v>3</v>
      </c>
      <c r="H49" s="12"/>
      <c r="I49" s="12"/>
      <c r="J49" s="13"/>
      <c r="K49" s="14">
        <v>8</v>
      </c>
      <c r="L49" s="19">
        <v>2.5</v>
      </c>
    </row>
    <row r="52" spans="7:13" x14ac:dyDescent="0.3">
      <c r="G52" s="1" t="s">
        <v>14</v>
      </c>
      <c r="H52" s="9" t="s">
        <v>2</v>
      </c>
      <c r="I52" s="9" t="s">
        <v>3</v>
      </c>
      <c r="J52" s="9" t="s">
        <v>4</v>
      </c>
      <c r="L52" s="9" t="s">
        <v>5</v>
      </c>
      <c r="M52" s="9" t="s">
        <v>6</v>
      </c>
    </row>
    <row r="53" spans="7:13" x14ac:dyDescent="0.3">
      <c r="G53" s="1">
        <v>1</v>
      </c>
      <c r="H53" s="2">
        <f>SQRT(((A2-K47)^2)+((B2-L47)^2))</f>
        <v>2.3570225662427973</v>
      </c>
      <c r="I53" s="4">
        <f>SQRT(((A2-K48)^2)+((B2-L48)^2))</f>
        <v>4.7140452031962718</v>
      </c>
      <c r="J53" s="4">
        <f>SQRT(((A2-K49)^2)+((B2-L49)^2))</f>
        <v>7.433034373659253</v>
      </c>
      <c r="L53" s="5">
        <f>MIN(H53,I53,J53)</f>
        <v>2.3570225662427973</v>
      </c>
      <c r="M53" s="5">
        <v>1</v>
      </c>
    </row>
    <row r="54" spans="7:13" x14ac:dyDescent="0.3">
      <c r="G54" s="1">
        <v>2</v>
      </c>
      <c r="H54" s="18">
        <f>SQRT(((A3-K47)^2)+((B3-L47)^2))</f>
        <v>0.7453560074070511</v>
      </c>
      <c r="I54" s="4">
        <f>SQRT(((A3-K48)^2)+((B3-L48)^2))</f>
        <v>7.1569701800257475</v>
      </c>
      <c r="J54" s="4">
        <f>SQRT(((A3-K49)^2)+((B3-L49)^2))</f>
        <v>7.0178344238090995</v>
      </c>
      <c r="L54" s="5">
        <f>MIN(H54,I54,J54)</f>
        <v>0.7453560074070511</v>
      </c>
      <c r="M54" s="5">
        <v>1</v>
      </c>
    </row>
    <row r="55" spans="7:13" x14ac:dyDescent="0.3">
      <c r="G55" s="1">
        <v>3</v>
      </c>
      <c r="H55" s="17">
        <f>SQRT(((A4-K47)^2)+((B4-L47)^2))</f>
        <v>6.472162604398763</v>
      </c>
      <c r="I55" s="2">
        <f>SQRT(((A4-K48)^2)+((B4-L48)^2))</f>
        <v>0.74535599399064167</v>
      </c>
      <c r="J55" s="4">
        <f>SQRT(((A4-K49)^2)+((B4-L49)^2))</f>
        <v>6.2649820430708338</v>
      </c>
      <c r="L55" s="5">
        <f>MIN(H55,I55,J55)</f>
        <v>0.74535599399064167</v>
      </c>
      <c r="M55" s="5">
        <v>2</v>
      </c>
    </row>
    <row r="56" spans="7:13" x14ac:dyDescent="0.3">
      <c r="G56" s="1">
        <v>4</v>
      </c>
      <c r="H56" s="17">
        <f>SQRT(((A5-K47)^2)+((B5-L47)^2))</f>
        <v>5.9628479250923192</v>
      </c>
      <c r="I56" s="2">
        <f>SQRT(((A5-K48)^2)+((B5-L48)^2))</f>
        <v>0.47140451607698691</v>
      </c>
      <c r="J56" s="4">
        <f>SQRT(((A5-K49)^2)+((B5-L49)^2))</f>
        <v>6.800735254367722</v>
      </c>
      <c r="L56" s="5">
        <f>MIN(H56,I56,J56)</f>
        <v>0.47140451607698691</v>
      </c>
      <c r="M56" s="5">
        <v>2</v>
      </c>
    </row>
    <row r="57" spans="7:13" x14ac:dyDescent="0.3">
      <c r="G57" s="1">
        <v>5</v>
      </c>
      <c r="H57" s="17">
        <f>SQRT(((A6-K47)^2)+((B6-L47)^2))</f>
        <v>6.8718426915768216</v>
      </c>
      <c r="I57" s="2">
        <f>SQRT(((A6-K48)^2)+((B6-L48)^2))</f>
        <v>0.74535599399064167</v>
      </c>
      <c r="J57" s="4">
        <f>SQRT(((A6-K49)^2)+((B6-L49)^2))</f>
        <v>7.6321687612368736</v>
      </c>
      <c r="L57" s="5">
        <f>MIN(H57,I57,J57)</f>
        <v>0.74535599399064167</v>
      </c>
      <c r="M57" s="5">
        <v>2</v>
      </c>
    </row>
    <row r="58" spans="7:13" x14ac:dyDescent="0.3">
      <c r="G58" s="1">
        <v>6</v>
      </c>
      <c r="H58" s="17">
        <f>SQRT(((A7-K47)^2)+((B7-L47)^2))</f>
        <v>6.6749948297940866</v>
      </c>
      <c r="I58" s="4">
        <f>SQRT(((A7-K48)^2)+((B7-L48)^2))</f>
        <v>6.4721626121241558</v>
      </c>
      <c r="J58" s="2">
        <f>SQRT(((A7-K49)^2)+((B7-L49)^2))</f>
        <v>0.5</v>
      </c>
      <c r="L58" s="5">
        <f>MIN(H58,I58,J58)</f>
        <v>0.5</v>
      </c>
      <c r="M58" s="5">
        <v>3</v>
      </c>
    </row>
    <row r="59" spans="7:13" x14ac:dyDescent="0.3">
      <c r="G59" s="1">
        <v>7</v>
      </c>
      <c r="H59" s="17">
        <f>SQRT(((A8-K47)^2)+((B8-L47)^2))</f>
        <v>6.6999171172319576</v>
      </c>
      <c r="I59" s="4">
        <f>SQRT(((A8-K48)^2)+((B8-L48)^2))</f>
        <v>7.3181661321520828</v>
      </c>
      <c r="J59" s="2">
        <f>SQRT(((A8-K49)^2)+((B8-L49)^2))</f>
        <v>0.5</v>
      </c>
      <c r="L59" s="5">
        <f>MIN(H59,I59,J59)</f>
        <v>0.5</v>
      </c>
      <c r="M59" s="5">
        <v>3</v>
      </c>
    </row>
    <row r="60" spans="7:13" x14ac:dyDescent="0.3">
      <c r="G60" s="1">
        <v>8</v>
      </c>
      <c r="H60" s="2">
        <f>SQRT(((A9-K47)^2)+((B9-L47)^2))</f>
        <v>1.7950549790404138</v>
      </c>
      <c r="I60" s="4">
        <f>SQRT(((A9-K48)^2)+((B9-L48)^2))</f>
        <v>7.6955975828896994</v>
      </c>
      <c r="J60" s="17">
        <f>SQRT(((A9-K49)^2)+((B9-L49)^2))</f>
        <v>6.1846584384264904</v>
      </c>
      <c r="L60" s="5">
        <f>MIN(H60,I60,J60)</f>
        <v>1.7950549790404138</v>
      </c>
      <c r="M60" s="5">
        <v>1</v>
      </c>
    </row>
  </sheetData>
  <mergeCells count="12">
    <mergeCell ref="H31:J31"/>
    <mergeCell ref="H32:J32"/>
    <mergeCell ref="H46:J46"/>
    <mergeCell ref="H47:J47"/>
    <mergeCell ref="H48:J48"/>
    <mergeCell ref="H49:J49"/>
    <mergeCell ref="H12:J12"/>
    <mergeCell ref="H13:J13"/>
    <mergeCell ref="H14:J14"/>
    <mergeCell ref="H15:J15"/>
    <mergeCell ref="H29:J29"/>
    <mergeCell ref="H30:J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arish madataly</dc:creator>
  <cp:lastModifiedBy>arish madataly</cp:lastModifiedBy>
  <dcterms:created xsi:type="dcterms:W3CDTF">2022-11-22T11:04:12Z</dcterms:created>
  <dcterms:modified xsi:type="dcterms:W3CDTF">2022-11-22T14:40:50Z</dcterms:modified>
</cp:coreProperties>
</file>